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alon\Downloads\"/>
    </mc:Choice>
  </mc:AlternateContent>
  <xr:revisionPtr revIDLastSave="0" documentId="8_{ECEB5A70-BC5B-4500-AEAB-01C7494FF70F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Dashboard" sheetId="1" r:id="rId1"/>
    <sheet name="Sales Data" sheetId="2" r:id="rId2"/>
    <sheet name="Notes &amp; Assumptions" sheetId="3" r:id="rId3"/>
  </sheets>
  <definedNames>
    <definedName name="_xlnm._FilterDatabase" localSheetId="1" hidden="1">'Sales Data'!$A$1:$E$49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8" i="1" l="1"/>
  <c r="B27" i="1"/>
  <c r="B26" i="1"/>
  <c r="B25" i="1"/>
  <c r="B24" i="1"/>
  <c r="B23" i="1"/>
  <c r="B22" i="1"/>
  <c r="B21" i="1"/>
  <c r="B20" i="1"/>
  <c r="B19" i="1"/>
  <c r="B18" i="1"/>
  <c r="B17" i="1"/>
  <c r="C14" i="1"/>
  <c r="B14" i="1"/>
  <c r="C13" i="1"/>
  <c r="B13" i="1"/>
  <c r="C12" i="1"/>
  <c r="B12" i="1"/>
  <c r="C11" i="1"/>
  <c r="B11" i="1"/>
  <c r="J5" i="1"/>
  <c r="G5" i="1"/>
  <c r="D5" i="1"/>
  <c r="A5" i="1"/>
</calcChain>
</file>

<file path=xl/sharedStrings.xml><?xml version="1.0" encoding="utf-8"?>
<sst xmlns="http://schemas.openxmlformats.org/spreadsheetml/2006/main" count="153" uniqueCount="53">
  <si>
    <t>AUTOMOTIVE SALES PERFORMANCE DASHBOARD</t>
  </si>
  <si>
    <t>TOTAL ILLUSTRATIVE SALES</t>
  </si>
  <si>
    <t>TOTAL UNITS SOLD</t>
  </si>
  <si>
    <t>AVG. SALES PER UNIT</t>
  </si>
  <si>
    <t>CATEGORIES TRACKED</t>
  </si>
  <si>
    <t>CATEGORY SUMMARY</t>
  </si>
  <si>
    <t>Category</t>
  </si>
  <si>
    <t>Units Sold</t>
  </si>
  <si>
    <t>Sales (₹ lakh)</t>
  </si>
  <si>
    <t>Passenger Cars</t>
  </si>
  <si>
    <t>Two-Wheelers</t>
  </si>
  <si>
    <t>Electric Vehicles</t>
  </si>
  <si>
    <t>Commercial Vehicles</t>
  </si>
  <si>
    <t>Monthly trend</t>
  </si>
  <si>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</si>
  <si>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</si>
  <si>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</si>
  <si>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</si>
  <si>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</si>
  <si>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</si>
  <si>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</si>
  <si>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</si>
  <si>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</si>
  <si>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</si>
  <si>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</si>
  <si>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</si>
  <si>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</si>
  <si>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SAMPLE INSIGHTS (based on illustrative data)</t>
  </si>
  <si>
    <t>1. Passenger cars contribute the largest sales value in this sample because the assumed average selling price is higher.</t>
  </si>
  <si>
    <t>2. Two-wheelers have the highest unit volume in this sample.</t>
  </si>
  <si>
    <t>3. Sales rise toward the end of the year in this constructed dataset; this is not evidence of a real seasonal trend.</t>
  </si>
  <si>
    <t>4. A real dashboard should use verified sales transactions and consistent definitions before drawing business conclusions.</t>
  </si>
  <si>
    <t>Illustrative Avg Price (₹ lakh)</t>
  </si>
  <si>
    <t>Illustrative Sales (₹ lakh)</t>
  </si>
  <si>
    <t>PROJECT NOTES &amp; ASSUMPTIONS</t>
  </si>
  <si>
    <t>Project type</t>
  </si>
  <si>
    <t>Independent practice dashboard for a Management Trainee portfolio.</t>
  </si>
  <si>
    <t>Data status</t>
  </si>
  <si>
    <t>All records are constructed illustrative sample data, not actual RAAM Group data.</t>
  </si>
  <si>
    <t>Period</t>
  </si>
  <si>
    <t>Jan–Dec, illustrative one-year period; no specific calendar year claimed.</t>
  </si>
  <si>
    <t>Categories</t>
  </si>
  <si>
    <t>Passenger Cars, Two-Wheelers, Electric Vehicles, Commercial Vehicles.</t>
  </si>
  <si>
    <t>Sales formula</t>
  </si>
  <si>
    <t>Units Sold × assumed average price per unit.</t>
  </si>
  <si>
    <t>Price assumptions</t>
  </si>
  <si>
    <t>Illustrative averages in ₹ lakh: cars 9.5; two-wheelers 0.95; EVs 1.35; commercial vehicles 16.0.</t>
  </si>
  <si>
    <t>Important limitation</t>
  </si>
  <si>
    <t>Categories are simplified and may overlap (for example, electric vehicles may include two-wheelers). Use a consistent taxonomy in real business reporting.</t>
  </si>
  <si>
    <t>How to improve</t>
  </si>
  <si>
    <t>Replace the sample records with authorized real data, add target vs actual sales, region/outlet filters, leads, conversion, margin, and service KPIs where available.</t>
  </si>
  <si>
    <t>Interview framing</t>
  </si>
  <si>
    <t>Describe this as a self-initiated dashboard prototype using sample data, not a project commissioned by RAAM Group.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</si>
</sst>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₹#,##0.0\ &quot;L&quot;"/>
    <numFmt numFmtId="165" formatCode="\₹#,##0.00\ &quot;L&quot;"/>
    <numFmt numFmtId="166" formatCode="\₹#,##0.0"/>
    <numFmt numFmtId="167" formatCode="\₹#,##0.00"/>
  </numFmts>
  <fonts count="11" x14ac:knownFonts="1">
    <font>
      <sz val="11"/>
      <color theme="1"/>
      <name val="Calibri"/>
      <family val="2"/>
      <scheme val="minor"/>
    </font>
    <font>
      <b/>
      <sz val="20"/>
      <color rgb="FFFFFFFF"/>
      <name val="Aptos Display"/>
      <family val="2"/>
    </font>
    <font>
      <i/>
      <sz val="10"/>
      <color rgb="FFA65025"/>
      <name val="Calibri"/>
      <family val="2"/>
    </font>
    <font>
      <b/>
      <sz val="10"/>
      <color rgb="FFFFFFFF"/>
      <name val="Calibri"/>
      <family val="2"/>
    </font>
    <font>
      <b/>
      <sz val="19"/>
      <color rgb="FF13243D"/>
      <name val="Calibri"/>
      <family val="2"/>
    </font>
    <font>
      <b/>
      <sz val="12"/>
      <color rgb="FFFFFFFF"/>
      <name val="Calibri"/>
      <family val="2"/>
    </font>
    <font>
      <b/>
      <sz val="11"/>
      <color rgb="FFFFFFFF"/>
      <name val="Calibri"/>
      <family val="2"/>
    </font>
    <font>
      <sz val="10"/>
      <color rgb="FF232C38"/>
      <name val="Calibri"/>
      <family val="2"/>
    </font>
    <font>
      <b/>
      <sz val="16"/>
      <color rgb="FFFFFFFF"/>
      <name val="Calibri"/>
      <family val="2"/>
    </font>
    <font>
      <b/>
      <sz val="11"/>
      <color rgb="FF2869A0"/>
      <name val="Calibri"/>
      <family val="2"/>
    </font>
    <font>
      <b/>
      <sz val="10"/>
      <color rgb="FF232C3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3243D"/>
      </patternFill>
    </fill>
    <fill>
      <patternFill patternType="solid">
        <fgColor rgb="FF008F8C"/>
      </patternFill>
    </fill>
    <fill>
      <patternFill patternType="solid">
        <fgColor rgb="FFF2F6FA"/>
      </patternFill>
    </fill>
    <fill>
      <patternFill patternType="solid">
        <fgColor rgb="FF2869A0"/>
      </patternFill>
    </fill>
  </fills>
  <borders count="2">
    <border>
      <left/>
      <right/>
      <top/>
      <bottom/>
      <diagonal/>
    </border>
    <border>
      <left/>
      <right/>
      <top/>
      <bottom style="hair">
        <color rgb="FFDDE5EC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0" fontId="6" fillId="5" borderId="1" xfId="0" applyFont="1" applyFill="1" applyBorder="1" applyAlignment="1">
      <alignment horizontal="center"/>
    </xf>
    <xf numFmtId="0" fontId="10" fillId="0" borderId="1" xfId="0" applyFont="1" applyBorder="1" applyAlignment="1">
      <alignment wrapText="1"/>
    </xf>
    <xf numFmtId="3" fontId="7" fillId="0" borderId="1" xfId="0" applyNumberFormat="1" applyFont="1" applyBorder="1"/>
    <xf numFmtId="166" fontId="7" fillId="0" borderId="1" xfId="0" applyNumberFormat="1" applyFont="1" applyBorder="1"/>
    <xf numFmtId="0" fontId="6" fillId="5" borderId="1" xfId="0" applyFont="1" applyFill="1" applyBorder="1"/>
    <xf numFmtId="0" fontId="10" fillId="0" borderId="1" xfId="0" applyFont="1" applyBorder="1"/>
    <xf numFmtId="0" fontId="7" fillId="0" borderId="1" xfId="0" applyFont="1" applyBorder="1"/>
    <xf numFmtId="0" fontId="6" fillId="2" borderId="0" xfId="0" applyFont="1" applyFill="1" applyAlignment="1">
      <alignment vertical="center" wrapText="1"/>
    </xf>
    <xf numFmtId="0" fontId="0" fillId="0" borderId="0" xfId="0" applyAlignment="1">
      <alignment vertical="center"/>
    </xf>
    <xf numFmtId="167" fontId="0" fillId="0" borderId="0" xfId="0" applyNumberFormat="1" applyAlignment="1">
      <alignment vertical="center"/>
    </xf>
    <xf numFmtId="0" fontId="9" fillId="0" borderId="0" xfId="0" applyFont="1"/>
    <xf numFmtId="0" fontId="0" fillId="0" borderId="0" xfId="0" applyAlignment="1">
      <alignment vertical="top" wrapText="1"/>
    </xf>
    <xf numFmtId="0" fontId="7" fillId="0" borderId="0" xfId="0" applyFont="1" applyAlignment="1">
      <alignment vertical="center" wrapText="1"/>
    </xf>
    <xf numFmtId="0" fontId="0" fillId="0" borderId="0" xfId="0"/>
    <xf numFmtId="3" fontId="4" fillId="4" borderId="0" xfId="0" applyNumberFormat="1" applyFont="1" applyFill="1" applyAlignment="1">
      <alignment horizontal="center" vertical="center"/>
    </xf>
    <xf numFmtId="164" fontId="4" fillId="4" borderId="0" xfId="0" applyNumberFormat="1" applyFont="1" applyFill="1" applyAlignment="1">
      <alignment horizontal="center" vertical="center"/>
    </xf>
    <xf numFmtId="165" fontId="4" fillId="4" borderId="0" xfId="0" applyNumberFormat="1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0" fontId="5" fillId="2" borderId="0" xfId="0" applyFont="1" applyFill="1"/>
    <xf numFmtId="0" fontId="5" fillId="2" borderId="1" xfId="0" applyFont="1" applyFill="1" applyBorder="1"/>
    <xf numFmtId="0" fontId="0" fillId="0" borderId="1" xfId="0" applyBorder="1"/>
    <xf numFmtId="1" fontId="4" fillId="4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8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by Category</a:t>
            </a:r>
          </a:p>
        </c:rich>
      </c:tx>
      <c:layout>
        <c:manualLayout>
          <c:xMode val="edge"/>
          <c:yMode val="edge"/>
          <c:x val="0.51814131786158313"/>
          <c:y val="1.7094017094017096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Dashboard!$C$10</c:f>
              <c:strCache>
                <c:ptCount val="1"/>
                <c:pt idx="0">
                  <c:v>Sales (₹ lakh)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invertIfNegative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invertIfNegative val="1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invertIfNegative val="1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cat>
            <c:strRef>
              <c:f>Dashboard!$A$11:$A$14</c:f>
              <c:strCache>
                <c:ptCount val="4"/>
                <c:pt idx="0">
                  <c:v>Passenger Cars</c:v>
                </c:pt>
                <c:pt idx="1">
                  <c:v>Two-Wheelers</c:v>
                </c:pt>
                <c:pt idx="2">
                  <c:v>Electric Vehicles</c:v>
                </c:pt>
                <c:pt idx="3">
                  <c:v>Commercial Vehicles</c:v>
                </c:pt>
              </c:strCache>
            </c:strRef>
          </c:cat>
          <c:val>
            <c:numRef>
              <c:f>Dashboard!$C$11:$C$14</c:f>
              <c:numCache>
                <c:formatCode>\₹#,##0.0</c:formatCode>
                <c:ptCount val="4"/>
                <c:pt idx="0">
                  <c:v>1396.5</c:v>
                </c:pt>
                <c:pt idx="1">
                  <c:v>291.65000000000003</c:v>
                </c:pt>
                <c:pt idx="2">
                  <c:v>110.70000000000002</c:v>
                </c:pt>
                <c:pt idx="3">
                  <c:v>704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79-49E0-B1DD-966689EC50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"/>
        <c:axId val="100"/>
      </c:barChart>
      <c:catAx>
        <c:axId val="1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 (₹ lakh)</a:t>
                </a:r>
              </a:p>
            </c:rich>
          </c:tx>
          <c:layout>
            <c:manualLayout>
              <c:xMode val="edge"/>
              <c:yMode val="edge"/>
              <c:x val="2.1929824561403508E-3"/>
              <c:y val="0.22365012512970761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Category</a:t>
                </a:r>
              </a:p>
            </c:rich>
          </c:tx>
          <c:layout>
            <c:manualLayout>
              <c:xMode val="edge"/>
              <c:yMode val="edge"/>
              <c:x val="0.5236315444122116"/>
              <c:y val="0.74799914545565527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\₹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N"/>
              <a:t>Monthly Sales Trend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Dashboard!$B$16</c:f>
              <c:strCache>
                <c:ptCount val="1"/>
                <c:pt idx="0">
                  <c:v>Sales (₹ lakh)</c:v>
                </c:pt>
              </c:strCache>
            </c:strRef>
          </c:tx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38100" cap="rnd">
                <a:solidFill>
                  <a:schemeClr val="accent3">
                    <a:shade val="40000"/>
                  </a:schemeClr>
                </a:solidFill>
                <a:round/>
              </a:ln>
              <a:effectLst/>
            </c:spPr>
          </c:dPt>
          <c:dPt>
            <c:idx val="1"/>
            <c:marker>
              <c:symbol val="none"/>
            </c:marker>
            <c:bubble3D val="0"/>
            <c:spPr>
              <a:ln w="38100" cap="rnd">
                <a:solidFill>
                  <a:schemeClr val="accent3">
                    <a:shade val="51000"/>
                  </a:schemeClr>
                </a:solidFill>
                <a:round/>
              </a:ln>
              <a:effectLst/>
            </c:spPr>
          </c:dPt>
          <c:dPt>
            <c:idx val="2"/>
            <c:marker>
              <c:symbol val="none"/>
            </c:marker>
            <c:bubble3D val="0"/>
            <c:spPr>
              <a:ln w="38100" cap="rnd">
                <a:solidFill>
                  <a:schemeClr val="accent3">
                    <a:shade val="62000"/>
                  </a:schemeClr>
                </a:solidFill>
                <a:round/>
              </a:ln>
              <a:effectLst/>
            </c:spPr>
          </c:dPt>
          <c:dPt>
            <c:idx val="3"/>
            <c:marker>
              <c:symbol val="none"/>
            </c:marker>
            <c:bubble3D val="0"/>
            <c:spPr>
              <a:ln w="38100" cap="rnd">
                <a:solidFill>
                  <a:schemeClr val="accent3">
                    <a:shade val="73000"/>
                  </a:schemeClr>
                </a:solidFill>
                <a:round/>
              </a:ln>
              <a:effectLst/>
            </c:spPr>
          </c:dPt>
          <c:dPt>
            <c:idx val="4"/>
            <c:marker>
              <c:symbol val="none"/>
            </c:marker>
            <c:bubble3D val="0"/>
            <c:spPr>
              <a:ln w="38100" cap="rnd">
                <a:solidFill>
                  <a:schemeClr val="accent3">
                    <a:shade val="83000"/>
                  </a:schemeClr>
                </a:solidFill>
                <a:round/>
              </a:ln>
              <a:effectLst/>
            </c:spPr>
          </c:dPt>
          <c:dPt>
            <c:idx val="5"/>
            <c:marker>
              <c:symbol val="none"/>
            </c:marker>
            <c:bubble3D val="0"/>
            <c:spPr>
              <a:ln w="38100" cap="rnd">
                <a:solidFill>
                  <a:schemeClr val="accent3">
                    <a:shade val="94000"/>
                  </a:schemeClr>
                </a:solidFill>
                <a:round/>
              </a:ln>
              <a:effectLst/>
            </c:spPr>
          </c:dPt>
          <c:dPt>
            <c:idx val="6"/>
            <c:marker>
              <c:symbol val="none"/>
            </c:marker>
            <c:bubble3D val="0"/>
            <c:spPr>
              <a:ln w="38100" cap="rnd">
                <a:solidFill>
                  <a:schemeClr val="accent3">
                    <a:tint val="95000"/>
                  </a:schemeClr>
                </a:solidFill>
                <a:round/>
              </a:ln>
              <a:effectLst/>
            </c:spPr>
          </c:dPt>
          <c:dPt>
            <c:idx val="7"/>
            <c:marker>
              <c:symbol val="none"/>
            </c:marker>
            <c:bubble3D val="0"/>
            <c:spPr>
              <a:ln w="38100" cap="rnd">
                <a:solidFill>
                  <a:schemeClr val="accent3">
                    <a:tint val="84000"/>
                  </a:schemeClr>
                </a:solidFill>
                <a:round/>
              </a:ln>
              <a:effectLst/>
            </c:spPr>
          </c:dPt>
          <c:dPt>
            <c:idx val="8"/>
            <c:marker>
              <c:symbol val="none"/>
            </c:marker>
            <c:bubble3D val="0"/>
            <c:spPr>
              <a:ln w="38100" cap="rnd">
                <a:solidFill>
                  <a:schemeClr val="accent3">
                    <a:tint val="74000"/>
                  </a:schemeClr>
                </a:solidFill>
                <a:round/>
              </a:ln>
              <a:effectLst/>
            </c:spPr>
          </c:dPt>
          <c:dPt>
            <c:idx val="9"/>
            <c:marker>
              <c:symbol val="none"/>
            </c:marker>
            <c:bubble3D val="0"/>
            <c:spPr>
              <a:ln w="38100" cap="rnd">
                <a:solidFill>
                  <a:schemeClr val="accent3">
                    <a:tint val="63000"/>
                  </a:schemeClr>
                </a:solidFill>
                <a:round/>
              </a:ln>
              <a:effectLst/>
            </c:spPr>
          </c:dPt>
          <c:dPt>
            <c:idx val="10"/>
            <c:marker>
              <c:symbol val="none"/>
            </c:marker>
            <c:bubble3D val="0"/>
            <c:spPr>
              <a:ln w="38100" cap="rnd">
                <a:solidFill>
                  <a:schemeClr val="accent3">
                    <a:tint val="52000"/>
                  </a:schemeClr>
                </a:solidFill>
                <a:round/>
              </a:ln>
              <a:effectLst/>
            </c:spPr>
          </c:dPt>
          <c:dPt>
            <c:idx val="11"/>
            <c:marker>
              <c:symbol val="none"/>
            </c:marker>
            <c:bubble3D val="0"/>
            <c:spPr>
              <a:ln w="38100" cap="rnd">
                <a:solidFill>
                  <a:schemeClr val="accent3">
                    <a:tint val="41000"/>
                  </a:schemeClr>
                </a:solidFill>
                <a:round/>
              </a:ln>
              <a:effectLst/>
            </c:spPr>
          </c:dPt>
          <c:cat>
            <c:strRef>
              <c:f>Dashboard!$A$17:$A$28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Dashboard!$B$17:$B$28</c:f>
              <c:numCache>
                <c:formatCode>\₹#,##0.0</c:formatCode>
                <c:ptCount val="12"/>
                <c:pt idx="0">
                  <c:v>129.14999999999998</c:v>
                </c:pt>
                <c:pt idx="1">
                  <c:v>141.9</c:v>
                </c:pt>
                <c:pt idx="2">
                  <c:v>169.3</c:v>
                </c:pt>
                <c:pt idx="3">
                  <c:v>182.05</c:v>
                </c:pt>
                <c:pt idx="4">
                  <c:v>193.85</c:v>
                </c:pt>
                <c:pt idx="5">
                  <c:v>188.95</c:v>
                </c:pt>
                <c:pt idx="6">
                  <c:v>205.64999999999998</c:v>
                </c:pt>
                <c:pt idx="7">
                  <c:v>214.45000000000002</c:v>
                </c:pt>
                <c:pt idx="8">
                  <c:v>234.4</c:v>
                </c:pt>
                <c:pt idx="9">
                  <c:v>263.14999999999998</c:v>
                </c:pt>
                <c:pt idx="10">
                  <c:v>274.95</c:v>
                </c:pt>
                <c:pt idx="11">
                  <c:v>305.04999999999995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F43-487D-A1D4-DC42D55C1C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 (₹ lakh)</a:t>
                </a:r>
              </a:p>
            </c:rich>
          </c:tx>
          <c:layout>
            <c:manualLayout>
              <c:xMode val="edge"/>
              <c:yMode val="edge"/>
              <c:x val="0.11329755515802027"/>
              <c:y val="0.21915400109869987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\₹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8</xdr:row>
      <xdr:rowOff>0</xdr:rowOff>
    </xdr:from>
    <xdr:ext cx="5791200" cy="1638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</xdr:col>
      <xdr:colOff>937260</xdr:colOff>
      <xdr:row>17</xdr:row>
      <xdr:rowOff>53340</xdr:rowOff>
    </xdr:from>
    <xdr:ext cx="4259580" cy="16383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34"/>
  <sheetViews>
    <sheetView showGridLines="0" workbookViewId="0">
      <pane ySplit="8" topLeftCell="A9" activePane="bottomLeft" state="frozen"/>
      <selection pane="bottomLeft" activeCell="K15" sqref="K15"/>
    </sheetView>
  </sheetViews>
  <sheetFormatPr defaultRowHeight="14.4" x14ac:dyDescent="0.3"/>
  <cols>
    <col min="1" max="1" width="25" customWidth="1"/>
    <col min="2" max="2" width="16" customWidth="1"/>
    <col min="3" max="3" width="17" customWidth="1"/>
    <col min="4" max="4" width="15" customWidth="1"/>
    <col min="5" max="5" width="18" customWidth="1"/>
    <col min="6" max="12" width="14" customWidth="1"/>
    <col min="13" max="14" width="12" customWidth="1"/>
  </cols>
  <sheetData>
    <row r="1" spans="1:14" ht="34.049999999999997" customHeight="1" x14ac:dyDescent="0.3">
      <c r="A1" s="2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2" spans="1:14" ht="22.05" customHeight="1" x14ac:dyDescent="0.3">
      <c r="A2" s="20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</row>
    <row r="4" spans="1:14" ht="25.05" customHeight="1" x14ac:dyDescent="0.3">
      <c r="A4" s="19" t="s">
        <v>1</v>
      </c>
      <c r="B4" s="15"/>
      <c r="C4" s="15"/>
      <c r="D4" s="19" t="s">
        <v>2</v>
      </c>
      <c r="E4" s="15"/>
      <c r="F4" s="15"/>
      <c r="G4" s="19" t="s">
        <v>3</v>
      </c>
      <c r="H4" s="15"/>
      <c r="I4" s="15"/>
      <c r="J4" s="19" t="s">
        <v>4</v>
      </c>
      <c r="K4" s="15"/>
      <c r="L4" s="15"/>
    </row>
    <row r="5" spans="1:14" ht="25.05" customHeight="1" x14ac:dyDescent="0.3">
      <c r="A5" s="17">
        <f>SUM('Sales Data'!E2:E49)</f>
        <v>2502.8499999999995</v>
      </c>
      <c r="B5" s="15"/>
      <c r="C5" s="15"/>
      <c r="D5" s="16">
        <f>SUM('Sales Data'!C2:C49)</f>
        <v>580</v>
      </c>
      <c r="E5" s="15"/>
      <c r="F5" s="15"/>
      <c r="G5" s="18">
        <f>SUM('Sales Data'!E2:E49)/SUM('Sales Data'!C2:C49)</f>
        <v>4.3152586206896544</v>
      </c>
      <c r="H5" s="15"/>
      <c r="I5" s="15"/>
      <c r="J5" s="24">
        <f>COUNTA(A10:A13)</f>
        <v>4</v>
      </c>
      <c r="K5" s="15"/>
      <c r="L5" s="15"/>
    </row>
    <row r="6" spans="1:14" ht="25.05" customHeight="1" x14ac:dyDescent="0.3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</row>
    <row r="9" spans="1:14" ht="15.6" x14ac:dyDescent="0.3">
      <c r="A9" s="22" t="s">
        <v>5</v>
      </c>
      <c r="B9" s="23"/>
      <c r="C9" s="23"/>
    </row>
    <row r="10" spans="1:14" x14ac:dyDescent="0.3">
      <c r="A10" s="2" t="s">
        <v>6</v>
      </c>
      <c r="B10" s="2" t="s">
        <v>7</v>
      </c>
      <c r="C10" s="2" t="s">
        <v>8</v>
      </c>
    </row>
    <row r="11" spans="1:14" x14ac:dyDescent="0.3">
      <c r="A11" s="3" t="s">
        <v>9</v>
      </c>
      <c r="B11" s="4">
        <f>SUMIF('Sales Data'!$B$2:$B$49,A11,'Sales Data'!$C$2:$C$49)</f>
        <v>147</v>
      </c>
      <c r="C11" s="5">
        <f>SUMIF('Sales Data'!$B$2:$B$49,A11,'Sales Data'!$E$2:$E$49)</f>
        <v>1396.5</v>
      </c>
    </row>
    <row r="12" spans="1:14" x14ac:dyDescent="0.3">
      <c r="A12" s="3" t="s">
        <v>10</v>
      </c>
      <c r="B12" s="4">
        <f>SUMIF('Sales Data'!$B$2:$B$49,A12,'Sales Data'!$C$2:$C$49)</f>
        <v>307</v>
      </c>
      <c r="C12" s="5">
        <f>SUMIF('Sales Data'!$B$2:$B$49,A12,'Sales Data'!$E$2:$E$49)</f>
        <v>291.65000000000003</v>
      </c>
    </row>
    <row r="13" spans="1:14" x14ac:dyDescent="0.3">
      <c r="A13" s="3" t="s">
        <v>11</v>
      </c>
      <c r="B13" s="4">
        <f>SUMIF('Sales Data'!$B$2:$B$49,A13,'Sales Data'!$C$2:$C$49)</f>
        <v>82</v>
      </c>
      <c r="C13" s="5">
        <f>SUMIF('Sales Data'!$B$2:$B$49,A13,'Sales Data'!$E$2:$E$49)</f>
        <v>110.70000000000002</v>
      </c>
    </row>
    <row r="14" spans="1:14" x14ac:dyDescent="0.3">
      <c r="A14" s="3" t="s">
        <v>12</v>
      </c>
      <c r="B14" s="4">
        <f>SUMIF('Sales Data'!$B$2:$B$49,A14,'Sales Data'!$C$2:$C$49)</f>
        <v>44</v>
      </c>
      <c r="C14" s="5">
        <f>SUMIF('Sales Data'!$B$2:$B$49,A14,'Sales Data'!$E$2:$E$49)</f>
        <v>704</v>
      </c>
    </row>
    <row r="15" spans="1:14" ht="15.6" x14ac:dyDescent="0.3">
      <c r="A15" s="22" t="s">
        <v>13</v>
      </c>
      <c r="B15" s="23"/>
      <c r="C15" s="23"/>
    </row>
    <row r="16" spans="1:14" x14ac:dyDescent="0.3">
      <c r="A16" s="6" t="s">
        <v>14</v>
      </c>
      <c r="B16" s="6" t="s">
        <v>8</v>
      </c>
      <c r="C16" s="1"/>
    </row>
    <row r="17" spans="1:14" x14ac:dyDescent="0.3">
      <c r="A17" s="7" t="s">
        <v>15</v>
      </c>
      <c r="B17" s="5">
        <f>SUMIF('Sales Data'!$A$2:$A$49,A17,'Sales Data'!$E$2:$E$49)</f>
        <v>129.14999999999998</v>
      </c>
      <c r="C17" s="8"/>
    </row>
    <row r="18" spans="1:14" x14ac:dyDescent="0.3">
      <c r="A18" s="7" t="s">
        <v>16</v>
      </c>
      <c r="B18" s="5">
        <f>SUMIF('Sales Data'!$A$2:$A$49,A18,'Sales Data'!$E$2:$E$49)</f>
        <v>141.9</v>
      </c>
      <c r="C18" s="8"/>
    </row>
    <row r="19" spans="1:14" x14ac:dyDescent="0.3">
      <c r="A19" s="7" t="s">
        <v>17</v>
      </c>
      <c r="B19" s="5">
        <f>SUMIF('Sales Data'!$A$2:$A$49,A19,'Sales Data'!$E$2:$E$49)</f>
        <v>169.3</v>
      </c>
      <c r="C19" s="8"/>
    </row>
    <row r="20" spans="1:14" x14ac:dyDescent="0.3">
      <c r="A20" s="7" t="s">
        <v>18</v>
      </c>
      <c r="B20" s="5">
        <f>SUMIF('Sales Data'!$A$2:$A$49,A20,'Sales Data'!$E$2:$E$49)</f>
        <v>182.05</v>
      </c>
      <c r="C20" s="8"/>
    </row>
    <row r="21" spans="1:14" x14ac:dyDescent="0.3">
      <c r="A21" s="7" t="s">
        <v>19</v>
      </c>
      <c r="B21" s="5">
        <f>SUMIF('Sales Data'!$A$2:$A$49,A21,'Sales Data'!$E$2:$E$49)</f>
        <v>193.85</v>
      </c>
      <c r="C21" s="8"/>
    </row>
    <row r="22" spans="1:14" x14ac:dyDescent="0.3">
      <c r="A22" s="7" t="s">
        <v>20</v>
      </c>
      <c r="B22" s="5">
        <f>SUMIF('Sales Data'!$A$2:$A$49,A22,'Sales Data'!$E$2:$E$49)</f>
        <v>188.95</v>
      </c>
      <c r="C22" s="8"/>
    </row>
    <row r="23" spans="1:14" x14ac:dyDescent="0.3">
      <c r="A23" s="7" t="s">
        <v>21</v>
      </c>
      <c r="B23" s="5">
        <f>SUMIF('Sales Data'!$A$2:$A$49,A23,'Sales Data'!$E$2:$E$49)</f>
        <v>205.64999999999998</v>
      </c>
      <c r="C23" s="8"/>
    </row>
    <row r="24" spans="1:14" x14ac:dyDescent="0.3">
      <c r="A24" s="7" t="s">
        <v>22</v>
      </c>
      <c r="B24" s="5">
        <f>SUMIF('Sales Data'!$A$2:$A$49,A24,'Sales Data'!$E$2:$E$49)</f>
        <v>214.45000000000002</v>
      </c>
      <c r="C24" s="8"/>
    </row>
    <row r="25" spans="1:14" x14ac:dyDescent="0.3">
      <c r="A25" s="7" t="s">
        <v>23</v>
      </c>
      <c r="B25" s="5">
        <f>SUMIF('Sales Data'!$A$2:$A$49,A25,'Sales Data'!$E$2:$E$49)</f>
        <v>234.4</v>
      </c>
      <c r="C25" s="8"/>
    </row>
    <row r="26" spans="1:14" x14ac:dyDescent="0.3">
      <c r="A26" s="7" t="s">
        <v>24</v>
      </c>
      <c r="B26" s="5">
        <f>SUMIF('Sales Data'!$A$2:$A$49,A26,'Sales Data'!$E$2:$E$49)</f>
        <v>263.14999999999998</v>
      </c>
      <c r="C26" s="8"/>
    </row>
    <row r="27" spans="1:14" x14ac:dyDescent="0.3">
      <c r="A27" s="7" t="s">
        <v>25</v>
      </c>
      <c r="B27" s="5">
        <f>SUMIF('Sales Data'!$A$2:$A$49,A27,'Sales Data'!$E$2:$E$49)</f>
        <v>274.95</v>
      </c>
      <c r="C27" s="8"/>
    </row>
    <row r="28" spans="1:14" x14ac:dyDescent="0.3">
      <c r="A28" s="7" t="s">
        <v>26</v>
      </c>
      <c r="B28" s="5">
        <f>SUMIF('Sales Data'!$A$2:$A$49,A28,'Sales Data'!$E$2:$E$49)</f>
        <v>305.04999999999995</v>
      </c>
      <c r="C28" s="8"/>
    </row>
    <row r="30" spans="1:14" ht="15.6" x14ac:dyDescent="0.3">
      <c r="A30" s="21" t="s">
        <v>27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</row>
    <row r="31" spans="1:14" ht="25.05" customHeight="1" x14ac:dyDescent="0.3">
      <c r="A31" s="14" t="s">
        <v>28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</row>
    <row r="32" spans="1:14" ht="25.05" customHeight="1" x14ac:dyDescent="0.3">
      <c r="A32" s="14" t="s">
        <v>29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</row>
    <row r="33" spans="1:14" ht="25.05" customHeight="1" x14ac:dyDescent="0.3">
      <c r="A33" s="14" t="s">
        <v>30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</row>
    <row r="34" spans="1:14" ht="25.05" customHeight="1" x14ac:dyDescent="0.3">
      <c r="A34" s="14" t="s">
        <v>31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</row>
  </sheetData>
  <mergeCells count="17">
    <mergeCell ref="A1:N1"/>
    <mergeCell ref="D4:F4"/>
    <mergeCell ref="A2:N2"/>
    <mergeCell ref="A30:N30"/>
    <mergeCell ref="A9:C9"/>
    <mergeCell ref="J5:L6"/>
    <mergeCell ref="G4:I4"/>
    <mergeCell ref="J4:L4"/>
    <mergeCell ref="A15:C15"/>
    <mergeCell ref="A4:C4"/>
    <mergeCell ref="A31:N31"/>
    <mergeCell ref="A34:N34"/>
    <mergeCell ref="D5:F6"/>
    <mergeCell ref="A5:C6"/>
    <mergeCell ref="G5:I6"/>
    <mergeCell ref="A33:N33"/>
    <mergeCell ref="A32:N32"/>
  </mergeCells>
  <pageMargins left="0.25" right="0.2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9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sheetData>
    <row r="1" spans="1:5" ht="57.6" x14ac:dyDescent="0.3">
      <c r="A1" s="9" t="s">
        <v>14</v>
      </c>
      <c r="B1" s="9" t="s">
        <v>6</v>
      </c>
      <c r="C1" s="9" t="s">
        <v>7</v>
      </c>
      <c r="D1" s="9" t="s">
        <v>32</v>
      </c>
      <c r="E1" s="9" t="s">
        <v>33</v>
      </c>
    </row>
    <row r="2" spans="1:5" x14ac:dyDescent="0.3">
      <c r="A2" s="10" t="s">
        <v>15</v>
      </c>
      <c r="B2" s="10" t="s">
        <v>9</v>
      </c>
      <c r="C2" s="10">
        <v>8</v>
      </c>
      <c r="D2" s="11">
        <v>9.5</v>
      </c>
      <c r="E2" s="11">
        <v>76</v>
      </c>
    </row>
    <row r="3" spans="1:5" x14ac:dyDescent="0.3">
      <c r="A3" s="10" t="s">
        <v>15</v>
      </c>
      <c r="B3" s="10" t="s">
        <v>10</v>
      </c>
      <c r="C3" s="10">
        <v>18</v>
      </c>
      <c r="D3" s="11">
        <v>0.95</v>
      </c>
      <c r="E3" s="11">
        <v>17.100000000000001</v>
      </c>
    </row>
    <row r="4" spans="1:5" x14ac:dyDescent="0.3">
      <c r="A4" s="10" t="s">
        <v>15</v>
      </c>
      <c r="B4" s="10" t="s">
        <v>11</v>
      </c>
      <c r="C4" s="10">
        <v>3</v>
      </c>
      <c r="D4" s="11">
        <v>1.35</v>
      </c>
      <c r="E4" s="11">
        <v>4.0500000000000007</v>
      </c>
    </row>
    <row r="5" spans="1:5" x14ac:dyDescent="0.3">
      <c r="A5" s="10" t="s">
        <v>15</v>
      </c>
      <c r="B5" s="10" t="s">
        <v>12</v>
      </c>
      <c r="C5" s="10">
        <v>2</v>
      </c>
      <c r="D5" s="11">
        <v>16</v>
      </c>
      <c r="E5" s="11">
        <v>32</v>
      </c>
    </row>
    <row r="6" spans="1:5" x14ac:dyDescent="0.3">
      <c r="A6" s="10" t="s">
        <v>16</v>
      </c>
      <c r="B6" s="10" t="s">
        <v>9</v>
      </c>
      <c r="C6" s="10">
        <v>9</v>
      </c>
      <c r="D6" s="11">
        <v>9.5</v>
      </c>
      <c r="E6" s="11">
        <v>85.5</v>
      </c>
    </row>
    <row r="7" spans="1:5" x14ac:dyDescent="0.3">
      <c r="A7" s="10" t="s">
        <v>16</v>
      </c>
      <c r="B7" s="10" t="s">
        <v>10</v>
      </c>
      <c r="C7" s="10">
        <v>20</v>
      </c>
      <c r="D7" s="11">
        <v>0.95</v>
      </c>
      <c r="E7" s="11">
        <v>19</v>
      </c>
    </row>
    <row r="8" spans="1:5" x14ac:dyDescent="0.3">
      <c r="A8" s="10" t="s">
        <v>16</v>
      </c>
      <c r="B8" s="10" t="s">
        <v>11</v>
      </c>
      <c r="C8" s="10">
        <v>4</v>
      </c>
      <c r="D8" s="11">
        <v>1.35</v>
      </c>
      <c r="E8" s="11">
        <v>5.4</v>
      </c>
    </row>
    <row r="9" spans="1:5" x14ac:dyDescent="0.3">
      <c r="A9" s="10" t="s">
        <v>16</v>
      </c>
      <c r="B9" s="10" t="s">
        <v>12</v>
      </c>
      <c r="C9" s="10">
        <v>2</v>
      </c>
      <c r="D9" s="11">
        <v>16</v>
      </c>
      <c r="E9" s="11">
        <v>32</v>
      </c>
    </row>
    <row r="10" spans="1:5" x14ac:dyDescent="0.3">
      <c r="A10" s="10" t="s">
        <v>17</v>
      </c>
      <c r="B10" s="10" t="s">
        <v>9</v>
      </c>
      <c r="C10" s="10">
        <v>10</v>
      </c>
      <c r="D10" s="11">
        <v>9.5</v>
      </c>
      <c r="E10" s="11">
        <v>95</v>
      </c>
    </row>
    <row r="11" spans="1:5" x14ac:dyDescent="0.3">
      <c r="A11" s="10" t="s">
        <v>17</v>
      </c>
      <c r="B11" s="10" t="s">
        <v>10</v>
      </c>
      <c r="C11" s="10">
        <v>22</v>
      </c>
      <c r="D11" s="11">
        <v>0.95</v>
      </c>
      <c r="E11" s="11">
        <v>20.9</v>
      </c>
    </row>
    <row r="12" spans="1:5" x14ac:dyDescent="0.3">
      <c r="A12" s="10" t="s">
        <v>17</v>
      </c>
      <c r="B12" s="10" t="s">
        <v>11</v>
      </c>
      <c r="C12" s="10">
        <v>4</v>
      </c>
      <c r="D12" s="11">
        <v>1.35</v>
      </c>
      <c r="E12" s="11">
        <v>5.4</v>
      </c>
    </row>
    <row r="13" spans="1:5" x14ac:dyDescent="0.3">
      <c r="A13" s="10" t="s">
        <v>17</v>
      </c>
      <c r="B13" s="10" t="s">
        <v>12</v>
      </c>
      <c r="C13" s="10">
        <v>3</v>
      </c>
      <c r="D13" s="11">
        <v>16</v>
      </c>
      <c r="E13" s="11">
        <v>48</v>
      </c>
    </row>
    <row r="14" spans="1:5" x14ac:dyDescent="0.3">
      <c r="A14" s="10" t="s">
        <v>18</v>
      </c>
      <c r="B14" s="10" t="s">
        <v>9</v>
      </c>
      <c r="C14" s="10">
        <v>11</v>
      </c>
      <c r="D14" s="11">
        <v>9.5</v>
      </c>
      <c r="E14" s="11">
        <v>104.5</v>
      </c>
    </row>
    <row r="15" spans="1:5" x14ac:dyDescent="0.3">
      <c r="A15" s="10" t="s">
        <v>18</v>
      </c>
      <c r="B15" s="10" t="s">
        <v>10</v>
      </c>
      <c r="C15" s="10">
        <v>24</v>
      </c>
      <c r="D15" s="11">
        <v>0.95</v>
      </c>
      <c r="E15" s="11">
        <v>22.8</v>
      </c>
    </row>
    <row r="16" spans="1:5" x14ac:dyDescent="0.3">
      <c r="A16" s="10" t="s">
        <v>18</v>
      </c>
      <c r="B16" s="10" t="s">
        <v>11</v>
      </c>
      <c r="C16" s="10">
        <v>5</v>
      </c>
      <c r="D16" s="11">
        <v>1.35</v>
      </c>
      <c r="E16" s="11">
        <v>6.75</v>
      </c>
    </row>
    <row r="17" spans="1:5" x14ac:dyDescent="0.3">
      <c r="A17" s="10" t="s">
        <v>18</v>
      </c>
      <c r="B17" s="10" t="s">
        <v>12</v>
      </c>
      <c r="C17" s="10">
        <v>3</v>
      </c>
      <c r="D17" s="11">
        <v>16</v>
      </c>
      <c r="E17" s="11">
        <v>48</v>
      </c>
    </row>
    <row r="18" spans="1:5" x14ac:dyDescent="0.3">
      <c r="A18" s="10" t="s">
        <v>19</v>
      </c>
      <c r="B18" s="10" t="s">
        <v>9</v>
      </c>
      <c r="C18" s="10">
        <v>12</v>
      </c>
      <c r="D18" s="11">
        <v>9.5</v>
      </c>
      <c r="E18" s="11">
        <v>114</v>
      </c>
    </row>
    <row r="19" spans="1:5" x14ac:dyDescent="0.3">
      <c r="A19" s="10" t="s">
        <v>19</v>
      </c>
      <c r="B19" s="10" t="s">
        <v>10</v>
      </c>
      <c r="C19" s="10">
        <v>25</v>
      </c>
      <c r="D19" s="11">
        <v>0.95</v>
      </c>
      <c r="E19" s="11">
        <v>23.75</v>
      </c>
    </row>
    <row r="20" spans="1:5" x14ac:dyDescent="0.3">
      <c r="A20" s="10" t="s">
        <v>19</v>
      </c>
      <c r="B20" s="10" t="s">
        <v>11</v>
      </c>
      <c r="C20" s="10">
        <v>6</v>
      </c>
      <c r="D20" s="11">
        <v>1.35</v>
      </c>
      <c r="E20" s="11">
        <v>8.1000000000000014</v>
      </c>
    </row>
    <row r="21" spans="1:5" x14ac:dyDescent="0.3">
      <c r="A21" s="10" t="s">
        <v>19</v>
      </c>
      <c r="B21" s="10" t="s">
        <v>12</v>
      </c>
      <c r="C21" s="10">
        <v>3</v>
      </c>
      <c r="D21" s="11">
        <v>16</v>
      </c>
      <c r="E21" s="11">
        <v>48</v>
      </c>
    </row>
    <row r="22" spans="1:5" x14ac:dyDescent="0.3">
      <c r="A22" s="10" t="s">
        <v>20</v>
      </c>
      <c r="B22" s="10" t="s">
        <v>9</v>
      </c>
      <c r="C22" s="10">
        <v>10</v>
      </c>
      <c r="D22" s="11">
        <v>9.5</v>
      </c>
      <c r="E22" s="11">
        <v>95</v>
      </c>
    </row>
    <row r="23" spans="1:5" x14ac:dyDescent="0.3">
      <c r="A23" s="10" t="s">
        <v>20</v>
      </c>
      <c r="B23" s="10" t="s">
        <v>10</v>
      </c>
      <c r="C23" s="10">
        <v>23</v>
      </c>
      <c r="D23" s="11">
        <v>0.95</v>
      </c>
      <c r="E23" s="11">
        <v>21.85</v>
      </c>
    </row>
    <row r="24" spans="1:5" x14ac:dyDescent="0.3">
      <c r="A24" s="10" t="s">
        <v>20</v>
      </c>
      <c r="B24" s="10" t="s">
        <v>11</v>
      </c>
      <c r="C24" s="10">
        <v>6</v>
      </c>
      <c r="D24" s="11">
        <v>1.35</v>
      </c>
      <c r="E24" s="11">
        <v>8.1000000000000014</v>
      </c>
    </row>
    <row r="25" spans="1:5" x14ac:dyDescent="0.3">
      <c r="A25" s="10" t="s">
        <v>20</v>
      </c>
      <c r="B25" s="10" t="s">
        <v>12</v>
      </c>
      <c r="C25" s="10">
        <v>4</v>
      </c>
      <c r="D25" s="11">
        <v>16</v>
      </c>
      <c r="E25" s="11">
        <v>64</v>
      </c>
    </row>
    <row r="26" spans="1:5" x14ac:dyDescent="0.3">
      <c r="A26" s="10" t="s">
        <v>21</v>
      </c>
      <c r="B26" s="10" t="s">
        <v>9</v>
      </c>
      <c r="C26" s="10">
        <v>13</v>
      </c>
      <c r="D26" s="11">
        <v>9.5</v>
      </c>
      <c r="E26" s="11">
        <v>123.5</v>
      </c>
    </row>
    <row r="27" spans="1:5" x14ac:dyDescent="0.3">
      <c r="A27" s="10" t="s">
        <v>21</v>
      </c>
      <c r="B27" s="10" t="s">
        <v>10</v>
      </c>
      <c r="C27" s="10">
        <v>26</v>
      </c>
      <c r="D27" s="11">
        <v>0.95</v>
      </c>
      <c r="E27" s="11">
        <v>24.7</v>
      </c>
    </row>
    <row r="28" spans="1:5" x14ac:dyDescent="0.3">
      <c r="A28" s="10" t="s">
        <v>21</v>
      </c>
      <c r="B28" s="10" t="s">
        <v>11</v>
      </c>
      <c r="C28" s="10">
        <v>7</v>
      </c>
      <c r="D28" s="11">
        <v>1.35</v>
      </c>
      <c r="E28" s="11">
        <v>9.4500000000000011</v>
      </c>
    </row>
    <row r="29" spans="1:5" x14ac:dyDescent="0.3">
      <c r="A29" s="10" t="s">
        <v>21</v>
      </c>
      <c r="B29" s="10" t="s">
        <v>12</v>
      </c>
      <c r="C29" s="10">
        <v>3</v>
      </c>
      <c r="D29" s="11">
        <v>16</v>
      </c>
      <c r="E29" s="11">
        <v>48</v>
      </c>
    </row>
    <row r="30" spans="1:5" x14ac:dyDescent="0.3">
      <c r="A30" s="10" t="s">
        <v>22</v>
      </c>
      <c r="B30" s="10" t="s">
        <v>9</v>
      </c>
      <c r="C30" s="10">
        <v>12</v>
      </c>
      <c r="D30" s="11">
        <v>9.5</v>
      </c>
      <c r="E30" s="11">
        <v>114</v>
      </c>
    </row>
    <row r="31" spans="1:5" x14ac:dyDescent="0.3">
      <c r="A31" s="10" t="s">
        <v>22</v>
      </c>
      <c r="B31" s="10" t="s">
        <v>10</v>
      </c>
      <c r="C31" s="10">
        <v>27</v>
      </c>
      <c r="D31" s="11">
        <v>0.95</v>
      </c>
      <c r="E31" s="11">
        <v>25.65</v>
      </c>
    </row>
    <row r="32" spans="1:5" x14ac:dyDescent="0.3">
      <c r="A32" s="10" t="s">
        <v>22</v>
      </c>
      <c r="B32" s="10" t="s">
        <v>11</v>
      </c>
      <c r="C32" s="10">
        <v>8</v>
      </c>
      <c r="D32" s="11">
        <v>1.35</v>
      </c>
      <c r="E32" s="11">
        <v>10.8</v>
      </c>
    </row>
    <row r="33" spans="1:5" x14ac:dyDescent="0.3">
      <c r="A33" s="10" t="s">
        <v>22</v>
      </c>
      <c r="B33" s="10" t="s">
        <v>12</v>
      </c>
      <c r="C33" s="10">
        <v>4</v>
      </c>
      <c r="D33" s="11">
        <v>16</v>
      </c>
      <c r="E33" s="11">
        <v>64</v>
      </c>
    </row>
    <row r="34" spans="1:5" x14ac:dyDescent="0.3">
      <c r="A34" s="10" t="s">
        <v>23</v>
      </c>
      <c r="B34" s="10" t="s">
        <v>9</v>
      </c>
      <c r="C34" s="10">
        <v>14</v>
      </c>
      <c r="D34" s="11">
        <v>9.5</v>
      </c>
      <c r="E34" s="11">
        <v>133</v>
      </c>
    </row>
    <row r="35" spans="1:5" x14ac:dyDescent="0.3">
      <c r="A35" s="10" t="s">
        <v>23</v>
      </c>
      <c r="B35" s="10" t="s">
        <v>10</v>
      </c>
      <c r="C35" s="10">
        <v>28</v>
      </c>
      <c r="D35" s="11">
        <v>0.95</v>
      </c>
      <c r="E35" s="11">
        <v>26.6</v>
      </c>
    </row>
    <row r="36" spans="1:5" x14ac:dyDescent="0.3">
      <c r="A36" s="10" t="s">
        <v>23</v>
      </c>
      <c r="B36" s="10" t="s">
        <v>11</v>
      </c>
      <c r="C36" s="10">
        <v>8</v>
      </c>
      <c r="D36" s="11">
        <v>1.35</v>
      </c>
      <c r="E36" s="11">
        <v>10.8</v>
      </c>
    </row>
    <row r="37" spans="1:5" x14ac:dyDescent="0.3">
      <c r="A37" s="10" t="s">
        <v>23</v>
      </c>
      <c r="B37" s="10" t="s">
        <v>12</v>
      </c>
      <c r="C37" s="10">
        <v>4</v>
      </c>
      <c r="D37" s="11">
        <v>16</v>
      </c>
      <c r="E37" s="11">
        <v>64</v>
      </c>
    </row>
    <row r="38" spans="1:5" x14ac:dyDescent="0.3">
      <c r="A38" s="10" t="s">
        <v>24</v>
      </c>
      <c r="B38" s="10" t="s">
        <v>9</v>
      </c>
      <c r="C38" s="10">
        <v>15</v>
      </c>
      <c r="D38" s="11">
        <v>9.5</v>
      </c>
      <c r="E38" s="11">
        <v>142.5</v>
      </c>
    </row>
    <row r="39" spans="1:5" x14ac:dyDescent="0.3">
      <c r="A39" s="10" t="s">
        <v>24</v>
      </c>
      <c r="B39" s="10" t="s">
        <v>10</v>
      </c>
      <c r="C39" s="10">
        <v>30</v>
      </c>
      <c r="D39" s="11">
        <v>0.95</v>
      </c>
      <c r="E39" s="11">
        <v>28.5</v>
      </c>
    </row>
    <row r="40" spans="1:5" x14ac:dyDescent="0.3">
      <c r="A40" s="10" t="s">
        <v>24</v>
      </c>
      <c r="B40" s="10" t="s">
        <v>11</v>
      </c>
      <c r="C40" s="10">
        <v>9</v>
      </c>
      <c r="D40" s="11">
        <v>1.35</v>
      </c>
      <c r="E40" s="11">
        <v>12.15</v>
      </c>
    </row>
    <row r="41" spans="1:5" x14ac:dyDescent="0.3">
      <c r="A41" s="10" t="s">
        <v>24</v>
      </c>
      <c r="B41" s="10" t="s">
        <v>12</v>
      </c>
      <c r="C41" s="10">
        <v>5</v>
      </c>
      <c r="D41" s="11">
        <v>16</v>
      </c>
      <c r="E41" s="11">
        <v>80</v>
      </c>
    </row>
    <row r="42" spans="1:5" x14ac:dyDescent="0.3">
      <c r="A42" s="10" t="s">
        <v>25</v>
      </c>
      <c r="B42" s="10" t="s">
        <v>9</v>
      </c>
      <c r="C42" s="10">
        <v>16</v>
      </c>
      <c r="D42" s="11">
        <v>9.5</v>
      </c>
      <c r="E42" s="11">
        <v>152</v>
      </c>
    </row>
    <row r="43" spans="1:5" x14ac:dyDescent="0.3">
      <c r="A43" s="10" t="s">
        <v>25</v>
      </c>
      <c r="B43" s="10" t="s">
        <v>10</v>
      </c>
      <c r="C43" s="10">
        <v>31</v>
      </c>
      <c r="D43" s="11">
        <v>0.95</v>
      </c>
      <c r="E43" s="11">
        <v>29.45</v>
      </c>
    </row>
    <row r="44" spans="1:5" x14ac:dyDescent="0.3">
      <c r="A44" s="10" t="s">
        <v>25</v>
      </c>
      <c r="B44" s="10" t="s">
        <v>11</v>
      </c>
      <c r="C44" s="10">
        <v>10</v>
      </c>
      <c r="D44" s="11">
        <v>1.35</v>
      </c>
      <c r="E44" s="11">
        <v>13.5</v>
      </c>
    </row>
    <row r="45" spans="1:5" x14ac:dyDescent="0.3">
      <c r="A45" s="10" t="s">
        <v>25</v>
      </c>
      <c r="B45" s="10" t="s">
        <v>12</v>
      </c>
      <c r="C45" s="10">
        <v>5</v>
      </c>
      <c r="D45" s="11">
        <v>16</v>
      </c>
      <c r="E45" s="11">
        <v>80</v>
      </c>
    </row>
    <row r="46" spans="1:5" x14ac:dyDescent="0.3">
      <c r="A46" s="10" t="s">
        <v>26</v>
      </c>
      <c r="B46" s="10" t="s">
        <v>9</v>
      </c>
      <c r="C46" s="10">
        <v>17</v>
      </c>
      <c r="D46" s="11">
        <v>9.5</v>
      </c>
      <c r="E46" s="11">
        <v>161.5</v>
      </c>
    </row>
    <row r="47" spans="1:5" x14ac:dyDescent="0.3">
      <c r="A47" s="10" t="s">
        <v>26</v>
      </c>
      <c r="B47" s="10" t="s">
        <v>10</v>
      </c>
      <c r="C47" s="10">
        <v>33</v>
      </c>
      <c r="D47" s="11">
        <v>0.95</v>
      </c>
      <c r="E47" s="11">
        <v>31.35</v>
      </c>
    </row>
    <row r="48" spans="1:5" x14ac:dyDescent="0.3">
      <c r="A48" s="10" t="s">
        <v>26</v>
      </c>
      <c r="B48" s="10" t="s">
        <v>11</v>
      </c>
      <c r="C48" s="10">
        <v>12</v>
      </c>
      <c r="D48" s="11">
        <v>1.35</v>
      </c>
      <c r="E48" s="11">
        <v>16.2</v>
      </c>
    </row>
    <row r="49" spans="1:5" x14ac:dyDescent="0.3">
      <c r="A49" s="10" t="s">
        <v>26</v>
      </c>
      <c r="B49" s="10" t="s">
        <v>12</v>
      </c>
      <c r="C49" s="10">
        <v>6</v>
      </c>
      <c r="D49" s="11">
        <v>16</v>
      </c>
      <c r="E49" s="11">
        <v>96</v>
      </c>
    </row>
  </sheetData>
  <autoFilter ref="A1:E49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showGridLines="0" tabSelected="1" workbookViewId="0">
      <pane ySplit="2" topLeftCell="A3" activePane="bottomLeft" state="frozen"/>
      <selection pane="bottomLeft" sqref="A1:B1"/>
    </sheetView>
  </sheetViews>
  <sheetFormatPr defaultRowHeight="14.4" x14ac:dyDescent="0.3"/>
  <cols>
    <col min="1" max="1" width="26" customWidth="1"/>
    <col min="2" max="2" width="105" customWidth="1"/>
  </cols>
  <sheetData>
    <row r="1" spans="1:2" ht="21" x14ac:dyDescent="0.4">
      <c r="A1" s="26" t="s">
        <v>34</v>
      </c>
      <c r="B1" s="15"/>
    </row>
    <row r="3" spans="1:2" ht="37.950000000000003" customHeight="1" x14ac:dyDescent="0.3">
      <c r="A3" s="12" t="s">
        <v>35</v>
      </c>
      <c r="B3" s="13" t="s">
        <v>36</v>
      </c>
    </row>
    <row r="4" spans="1:2" ht="37.950000000000003" customHeight="1" x14ac:dyDescent="0.3">
      <c r="A4" s="12" t="s">
        <v>37</v>
      </c>
      <c r="B4" s="13" t="s">
        <v>38</v>
      </c>
    </row>
    <row r="5" spans="1:2" ht="37.950000000000003" customHeight="1" x14ac:dyDescent="0.3">
      <c r="A5" s="12" t="s">
        <v>39</v>
      </c>
      <c r="B5" s="13" t="s">
        <v>40</v>
      </c>
    </row>
    <row r="6" spans="1:2" ht="37.950000000000003" customHeight="1" x14ac:dyDescent="0.3">
      <c r="A6" s="12" t="s">
        <v>41</v>
      </c>
      <c r="B6" s="13" t="s">
        <v>42</v>
      </c>
    </row>
    <row r="7" spans="1:2" ht="37.950000000000003" customHeight="1" x14ac:dyDescent="0.3">
      <c r="A7" s="12" t="s">
        <v>43</v>
      </c>
      <c r="B7" s="13" t="s">
        <v>44</v>
      </c>
    </row>
    <row r="8" spans="1:2" ht="37.950000000000003" customHeight="1" x14ac:dyDescent="0.3">
      <c r="A8" s="12" t="s">
        <v>45</v>
      </c>
      <c r="B8" s="13" t="s">
        <v>46</v>
      </c>
    </row>
    <row r="9" spans="1:2" ht="37.950000000000003" customHeight="1" x14ac:dyDescent="0.3">
      <c r="A9" s="12" t="s">
        <v>47</v>
      </c>
      <c r="B9" s="13" t="s">
        <v>48</v>
      </c>
    </row>
    <row r="10" spans="1:2" ht="37.950000000000003" customHeight="1" x14ac:dyDescent="0.3">
      <c r="A10" s="12" t="s">
        <v>49</v>
      </c>
      <c r="B10" s="13" t="s">
        <v>50</v>
      </c>
    </row>
    <row r="11" spans="1:2" ht="37.950000000000003" customHeight="1" x14ac:dyDescent="0.3">
      <c r="A11" s="12" t="s">
        <v>51</v>
      </c>
      <c r="B11" s="13" t="s">
        <v>52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Sales Data</vt:lpstr>
      <vt:lpstr>Notes &amp; Assumptions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SALONI BEHERA</cp:lastModifiedBy>
  <dcterms:created xsi:type="dcterms:W3CDTF">2026-10-27T16:14:25Z</dcterms:created>
  <dcterms:modified xsi:type="dcterms:W3CDTF">2026-10-27T16:21:19Z</dcterms:modified>
</cp:coreProperties>
</file>